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na\Documents\Cursos Marina\Curso Excel\"/>
    </mc:Choice>
  </mc:AlternateContent>
  <bookViews>
    <workbookView xWindow="0" yWindow="0" windowWidth="15345" windowHeight="4635"/>
  </bookViews>
  <sheets>
    <sheet name="APP" sheetId="1" r:id="rId1"/>
    <sheet name="Plan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oma">APP!$D$21</definedName>
    <definedName name="sugestao_ivestimento">APP!$D$14</definedName>
    <definedName name="taxa_mensal">APP!$D$19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2" l="1"/>
  <c r="C37" i="1"/>
  <c r="C38" i="1"/>
  <c r="C39" i="1"/>
  <c r="C40" i="1"/>
  <c r="D40" i="1" s="1"/>
  <c r="C41" i="1"/>
  <c r="C36" i="1"/>
  <c r="H4" i="2"/>
  <c r="A8" i="2"/>
  <c r="A9" i="2"/>
  <c r="A10" i="2"/>
  <c r="A11" i="2"/>
  <c r="A12" i="2"/>
  <c r="A13" i="2"/>
  <c r="A15" i="2"/>
  <c r="A16" i="2"/>
  <c r="A17" i="2"/>
  <c r="A18" i="2"/>
  <c r="A19" i="2"/>
  <c r="A20" i="2"/>
  <c r="A4" i="2"/>
  <c r="A5" i="2"/>
  <c r="A6" i="2"/>
  <c r="A7" i="2"/>
  <c r="A3" i="2"/>
  <c r="C25" i="1"/>
  <c r="C33" i="1"/>
  <c r="D20" i="1"/>
  <c r="D21" i="1" s="1"/>
  <c r="D14" i="1"/>
  <c r="D25" i="1"/>
  <c r="C26" i="1"/>
  <c r="D26" i="1" s="1"/>
  <c r="C27" i="1"/>
  <c r="D27" i="1" s="1"/>
  <c r="C28" i="1"/>
  <c r="D28" i="1" s="1"/>
  <c r="C24" i="1"/>
  <c r="D24" i="1" s="1"/>
  <c r="D39" i="1" l="1"/>
  <c r="D36" i="1"/>
  <c r="D38" i="1"/>
  <c r="D41" i="1"/>
  <c r="D37" i="1"/>
  <c r="D42" i="1" l="1"/>
</calcChain>
</file>

<file path=xl/sharedStrings.xml><?xml version="1.0" encoding="utf-8"?>
<sst xmlns="http://schemas.openxmlformats.org/spreadsheetml/2006/main" count="71" uniqueCount="34">
  <si>
    <t>INVESTIMENTO MENSAL</t>
  </si>
  <si>
    <t>POR QUANTOS ANOS?</t>
  </si>
  <si>
    <t>TAXA DE RENDIMENTO MENSAL?</t>
  </si>
  <si>
    <t>QUANTO INVESTIR POR MÊS?</t>
  </si>
  <si>
    <t>PATROMONIO ACOMULADO?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</si>
  <si>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</si>
  <si>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</si>
  <si>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</si>
  <si>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</si>
  <si>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</si>
  <si>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</si>
  <si>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</si>
  <si>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</si>
  <si>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</si>
  <si>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</si>
  <si>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</si>
  <si>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PERFIL</t>
  </si>
  <si>
    <t>CONSERVADOR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</si>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</sst>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ck">
        <color indexed="64"/>
      </right>
      <top/>
      <bottom style="thin">
        <color theme="2"/>
      </bottom>
      <diagonal/>
    </border>
    <border>
      <left style="thick">
        <color indexed="64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ck">
        <color indexed="64"/>
      </right>
      <top style="thin">
        <color theme="2"/>
      </top>
      <bottom style="thin">
        <color theme="2"/>
      </bottom>
      <diagonal/>
    </border>
    <border>
      <left style="thick">
        <color indexed="64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ck">
        <color indexed="64"/>
      </right>
      <top style="thin">
        <color theme="2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8">
    <xf numFmtId="0" fontId="0" fillId="0" borderId="0" xfId="0"/>
    <xf numFmtId="0" fontId="5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8" fontId="8" fillId="5" borderId="3" xfId="0" applyNumberFormat="1" applyFont="1" applyFill="1" applyBorder="1" applyAlignment="1">
      <alignment horizontal="center" vertical="center"/>
    </xf>
    <xf numFmtId="8" fontId="8" fillId="5" borderId="7" xfId="0" applyNumberFormat="1" applyFont="1" applyFill="1" applyBorder="1" applyAlignment="1">
      <alignment horizontal="center" vertical="center"/>
    </xf>
    <xf numFmtId="8" fontId="8" fillId="5" borderId="4" xfId="0" applyNumberFormat="1" applyFont="1" applyFill="1" applyBorder="1" applyAlignment="1">
      <alignment horizontal="center" vertical="center"/>
    </xf>
    <xf numFmtId="8" fontId="8" fillId="5" borderId="9" xfId="0" applyNumberFormat="1" applyFont="1" applyFill="1" applyBorder="1" applyAlignment="1">
      <alignment horizontal="center" vertical="center"/>
    </xf>
    <xf numFmtId="166" fontId="8" fillId="5" borderId="9" xfId="1" applyNumberFormat="1" applyFont="1" applyFill="1" applyBorder="1" applyAlignment="1">
      <alignment horizontal="center" vertical="center"/>
    </xf>
    <xf numFmtId="8" fontId="8" fillId="5" borderId="11" xfId="0" applyNumberFormat="1" applyFont="1" applyFill="1" applyBorder="1" applyAlignment="1">
      <alignment horizontal="center" vertical="center"/>
    </xf>
    <xf numFmtId="8" fontId="8" fillId="5" borderId="12" xfId="0" applyNumberFormat="1" applyFont="1" applyFill="1" applyBorder="1" applyAlignment="1">
      <alignment horizontal="center" vertical="center"/>
    </xf>
    <xf numFmtId="10" fontId="4" fillId="0" borderId="9" xfId="0" applyNumberFormat="1" applyFont="1" applyBorder="1" applyAlignment="1">
      <alignment horizontal="center"/>
    </xf>
    <xf numFmtId="0" fontId="10" fillId="3" borderId="2" xfId="0" applyFont="1" applyFill="1" applyBorder="1" applyAlignment="1">
      <alignment horizontal="left" vertical="center"/>
    </xf>
    <xf numFmtId="166" fontId="8" fillId="0" borderId="7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0" fontId="8" fillId="0" borderId="9" xfId="2" applyNumberFormat="1" applyFont="1" applyBorder="1" applyAlignment="1">
      <alignment horizontal="center"/>
    </xf>
    <xf numFmtId="8" fontId="8" fillId="5" borderId="12" xfId="0" applyNumberFormat="1" applyFont="1" applyFill="1" applyBorder="1" applyAlignment="1">
      <alignment horizontal="center"/>
    </xf>
    <xf numFmtId="166" fontId="4" fillId="0" borderId="13" xfId="0" applyNumberFormat="1" applyFont="1" applyBorder="1" applyAlignment="1">
      <alignment horizontal="center"/>
    </xf>
    <xf numFmtId="0" fontId="10" fillId="4" borderId="5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left" indent="3"/>
    </xf>
    <xf numFmtId="0" fontId="7" fillId="5" borderId="15" xfId="0" applyFont="1" applyFill="1" applyBorder="1" applyAlignment="1">
      <alignment horizontal="left" indent="3"/>
    </xf>
    <xf numFmtId="0" fontId="7" fillId="5" borderId="8" xfId="0" applyFont="1" applyFill="1" applyBorder="1" applyAlignment="1">
      <alignment horizontal="left" indent="3"/>
    </xf>
    <xf numFmtId="0" fontId="7" fillId="5" borderId="4" xfId="0" applyFont="1" applyFill="1" applyBorder="1" applyAlignment="1">
      <alignment horizontal="left" indent="3"/>
    </xf>
    <xf numFmtId="0" fontId="7" fillId="5" borderId="10" xfId="0" applyFont="1" applyFill="1" applyBorder="1" applyAlignment="1">
      <alignment horizontal="left" indent="3"/>
    </xf>
    <xf numFmtId="0" fontId="7" fillId="5" borderId="11" xfId="0" applyFont="1" applyFill="1" applyBorder="1" applyAlignment="1">
      <alignment horizontal="left" indent="3"/>
    </xf>
    <xf numFmtId="0" fontId="6" fillId="0" borderId="6" xfId="0" applyFont="1" applyBorder="1" applyAlignment="1">
      <alignment horizontal="left" vertical="center" indent="3"/>
    </xf>
    <xf numFmtId="0" fontId="6" fillId="0" borderId="3" xfId="0" applyFont="1" applyBorder="1" applyAlignment="1">
      <alignment horizontal="left" vertical="center" indent="3"/>
    </xf>
    <xf numFmtId="0" fontId="6" fillId="0" borderId="8" xfId="0" applyFont="1" applyBorder="1" applyAlignment="1">
      <alignment horizontal="left" vertical="center" indent="3"/>
    </xf>
    <xf numFmtId="0" fontId="6" fillId="0" borderId="4" xfId="0" applyFont="1" applyBorder="1" applyAlignment="1">
      <alignment horizontal="left" vertical="center" indent="3"/>
    </xf>
    <xf numFmtId="0" fontId="7" fillId="5" borderId="8" xfId="0" applyFont="1" applyFill="1" applyBorder="1" applyAlignment="1">
      <alignment horizontal="left" vertical="center" indent="3"/>
    </xf>
    <xf numFmtId="0" fontId="7" fillId="5" borderId="4" xfId="0" applyFont="1" applyFill="1" applyBorder="1" applyAlignment="1">
      <alignment horizontal="left" vertical="center" indent="3"/>
    </xf>
    <xf numFmtId="0" fontId="7" fillId="5" borderId="10" xfId="0" applyFont="1" applyFill="1" applyBorder="1" applyAlignment="1">
      <alignment horizontal="left" vertical="center" indent="3"/>
    </xf>
    <xf numFmtId="0" fontId="7" fillId="5" borderId="11" xfId="0" applyFont="1" applyFill="1" applyBorder="1" applyAlignment="1">
      <alignment horizontal="left" vertical="center" indent="3"/>
    </xf>
    <xf numFmtId="0" fontId="7" fillId="5" borderId="6" xfId="0" applyFont="1" applyFill="1" applyBorder="1" applyAlignment="1">
      <alignment horizontal="left" indent="3"/>
    </xf>
    <xf numFmtId="0" fontId="7" fillId="5" borderId="8" xfId="0" applyFont="1" applyFill="1" applyBorder="1" applyAlignment="1">
      <alignment horizontal="left" indent="3"/>
    </xf>
    <xf numFmtId="0" fontId="7" fillId="5" borderId="10" xfId="0" applyFont="1" applyFill="1" applyBorder="1" applyAlignment="1">
      <alignment horizontal="left" indent="3"/>
    </xf>
    <xf numFmtId="166" fontId="4" fillId="5" borderId="12" xfId="0" applyNumberFormat="1" applyFont="1" applyFill="1" applyBorder="1" applyAlignment="1">
      <alignment horizontal="center"/>
    </xf>
    <xf numFmtId="0" fontId="2" fillId="2" borderId="0" xfId="3"/>
    <xf numFmtId="9" fontId="2" fillId="2" borderId="0" xfId="2" applyFont="1" applyFill="1"/>
    <xf numFmtId="166" fontId="8" fillId="5" borderId="9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/>
    </xf>
    <xf numFmtId="0" fontId="0" fillId="0" borderId="20" xfId="0" applyBorder="1"/>
    <xf numFmtId="9" fontId="0" fillId="0" borderId="21" xfId="0" applyNumberFormat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0" fillId="0" borderId="22" xfId="0" applyBorder="1"/>
    <xf numFmtId="9" fontId="0" fillId="0" borderId="23" xfId="2" applyFon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0" fontId="2" fillId="2" borderId="26" xfId="3" applyBorder="1"/>
    <xf numFmtId="166" fontId="4" fillId="6" borderId="28" xfId="0" applyNumberFormat="1" applyFont="1" applyFill="1" applyBorder="1" applyAlignment="1">
      <alignment horizontal="center" vertical="center"/>
    </xf>
    <xf numFmtId="0" fontId="0" fillId="6" borderId="29" xfId="0" applyFill="1" applyBorder="1"/>
    <xf numFmtId="0" fontId="11" fillId="2" borderId="24" xfId="3" applyFont="1" applyBorder="1"/>
    <xf numFmtId="0" fontId="11" fillId="2" borderId="25" xfId="3" applyFont="1" applyBorder="1" applyAlignment="1">
      <alignment horizontal="center" vertical="center"/>
    </xf>
    <xf numFmtId="0" fontId="7" fillId="6" borderId="27" xfId="0" applyFont="1" applyFill="1" applyBorder="1"/>
    <xf numFmtId="0" fontId="7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/>
    </xf>
    <xf numFmtId="0" fontId="6" fillId="7" borderId="28" xfId="0" applyFont="1" applyFill="1" applyBorder="1"/>
    <xf numFmtId="166" fontId="7" fillId="7" borderId="29" xfId="0" applyNumberFormat="1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9" fontId="7" fillId="0" borderId="31" xfId="0" applyNumberFormat="1" applyFont="1" applyBorder="1" applyAlignment="1">
      <alignment horizontal="center"/>
    </xf>
    <xf numFmtId="166" fontId="7" fillId="5" borderId="32" xfId="0" applyNumberFormat="1" applyFont="1" applyFill="1" applyBorder="1" applyAlignment="1">
      <alignment horizontal="center"/>
    </xf>
    <xf numFmtId="0" fontId="7" fillId="0" borderId="33" xfId="0" applyFont="1" applyBorder="1" applyAlignment="1">
      <alignment horizontal="center"/>
    </xf>
    <xf numFmtId="9" fontId="7" fillId="0" borderId="34" xfId="0" applyNumberFormat="1" applyFont="1" applyBorder="1" applyAlignment="1">
      <alignment horizontal="center"/>
    </xf>
    <xf numFmtId="166" fontId="7" fillId="5" borderId="35" xfId="0" applyNumberFormat="1" applyFont="1" applyFill="1" applyBorder="1" applyAlignment="1">
      <alignment horizontal="center"/>
    </xf>
    <xf numFmtId="0" fontId="7" fillId="0" borderId="36" xfId="0" applyFont="1" applyBorder="1" applyAlignment="1">
      <alignment horizontal="center"/>
    </xf>
    <xf numFmtId="9" fontId="7" fillId="0" borderId="37" xfId="0" applyNumberFormat="1" applyFont="1" applyBorder="1" applyAlignment="1">
      <alignment horizontal="center"/>
    </xf>
    <xf numFmtId="166" fontId="7" fillId="5" borderId="38" xfId="0" applyNumberFormat="1" applyFont="1" applyFill="1" applyBorder="1" applyAlignment="1">
      <alignment horizontal="center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42</xdr:row>
      <xdr:rowOff>152399</xdr:rowOff>
    </xdr:from>
    <xdr:to>
      <xdr:col>3</xdr:col>
      <xdr:colOff>1028700</xdr:colOff>
      <xdr:row>56</xdr:row>
      <xdr:rowOff>66674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238125</xdr:colOff>
      <xdr:row>0</xdr:row>
      <xdr:rowOff>85725</xdr:rowOff>
    </xdr:from>
    <xdr:to>
      <xdr:col>5</xdr:col>
      <xdr:colOff>114300</xdr:colOff>
      <xdr:row>8</xdr:row>
      <xdr:rowOff>117930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38125" y="85725"/>
          <a:ext cx="7543800" cy="1556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XFD43"/>
  <sheetViews>
    <sheetView showGridLines="0" tabSelected="1" topLeftCell="A28" workbookViewId="0">
      <selection activeCell="G32" sqref="G32"/>
    </sheetView>
  </sheetViews>
  <sheetFormatPr defaultColWidth="0" defaultRowHeight="15" x14ac:dyDescent="0.25"/>
  <cols>
    <col min="1" max="1" width="6.140625" customWidth="1"/>
    <col min="2" max="2" width="54.5703125" customWidth="1"/>
    <col min="3" max="3" width="33.85546875" bestFit="1" customWidth="1"/>
    <col min="4" max="4" width="15.85546875" bestFit="1" customWidth="1"/>
    <col min="5" max="6" width="4.5703125" customWidth="1"/>
    <col min="7" max="7" width="11.5703125" customWidth="1"/>
    <col min="8" max="16383" width="11.5703125" hidden="1"/>
    <col min="16384" max="16384" width="8.140625" hidden="1" customWidth="1"/>
  </cols>
  <sheetData>
    <row r="10" spans="2:4" ht="15.75" thickBot="1" x14ac:dyDescent="0.3"/>
    <row r="11" spans="2:4" ht="27" thickBot="1" x14ac:dyDescent="0.3">
      <c r="B11" s="5" t="s">
        <v>13</v>
      </c>
      <c r="C11" s="21"/>
      <c r="D11" s="6"/>
    </row>
    <row r="12" spans="2:4" ht="17.25" x14ac:dyDescent="0.3">
      <c r="B12" s="22" t="s">
        <v>15</v>
      </c>
      <c r="C12" s="23"/>
      <c r="D12" s="20">
        <v>4200</v>
      </c>
    </row>
    <row r="13" spans="2:4" ht="17.25" x14ac:dyDescent="0.3">
      <c r="B13" s="24" t="s">
        <v>14</v>
      </c>
      <c r="C13" s="25"/>
      <c r="D13" s="14">
        <v>6.0000000000000001E-3</v>
      </c>
    </row>
    <row r="14" spans="2:4" ht="18" thickBot="1" x14ac:dyDescent="0.35">
      <c r="B14" s="26" t="s">
        <v>33</v>
      </c>
      <c r="C14" s="27"/>
      <c r="D14" s="39">
        <f>D12*30%</f>
        <v>1260</v>
      </c>
    </row>
    <row r="15" spans="2:4" ht="15.75" thickBot="1" x14ac:dyDescent="0.3"/>
    <row r="16" spans="2:4" ht="25.5" customHeight="1" x14ac:dyDescent="0.25">
      <c r="B16" s="3" t="s">
        <v>0</v>
      </c>
      <c r="C16" s="4"/>
      <c r="D16" s="15"/>
    </row>
    <row r="17" spans="1:4" ht="21" customHeight="1" x14ac:dyDescent="0.25">
      <c r="B17" s="28" t="s">
        <v>3</v>
      </c>
      <c r="C17" s="29"/>
      <c r="D17" s="16">
        <v>200</v>
      </c>
    </row>
    <row r="18" spans="1:4" ht="17.25" x14ac:dyDescent="0.25">
      <c r="B18" s="30" t="s">
        <v>1</v>
      </c>
      <c r="C18" s="31"/>
      <c r="D18" s="17">
        <v>5</v>
      </c>
    </row>
    <row r="19" spans="1:4" ht="17.25" x14ac:dyDescent="0.25">
      <c r="B19" s="30" t="s">
        <v>2</v>
      </c>
      <c r="C19" s="31"/>
      <c r="D19" s="18">
        <v>1.0789999999999999E-2</v>
      </c>
    </row>
    <row r="20" spans="1:4" ht="17.25" x14ac:dyDescent="0.25">
      <c r="B20" s="32" t="s">
        <v>4</v>
      </c>
      <c r="C20" s="33"/>
      <c r="D20" s="42">
        <f>FV(taxa_mensal,qtd_anos*12,aporte*-1)</f>
        <v>16755.382799697527</v>
      </c>
    </row>
    <row r="21" spans="1:4" ht="18" thickBot="1" x14ac:dyDescent="0.3">
      <c r="B21" s="34" t="s">
        <v>5</v>
      </c>
      <c r="C21" s="35"/>
      <c r="D21" s="19">
        <f>patrimonio*rendimento_carteira</f>
        <v>100.53229679818516</v>
      </c>
    </row>
    <row r="22" spans="1:4" ht="15.75" thickBot="1" x14ac:dyDescent="0.3"/>
    <row r="23" spans="1:4" ht="25.5" customHeight="1" x14ac:dyDescent="0.25">
      <c r="B23" s="3" t="s">
        <v>11</v>
      </c>
      <c r="C23" s="4"/>
      <c r="D23" s="2" t="s">
        <v>12</v>
      </c>
    </row>
    <row r="24" spans="1:4" ht="21" customHeight="1" x14ac:dyDescent="0.3">
      <c r="A24" s="1">
        <v>2</v>
      </c>
      <c r="B24" s="36" t="s">
        <v>6</v>
      </c>
      <c r="C24" s="7">
        <f>FV($D$19,$A24*12,$D$17*-1)</f>
        <v>5445.5254595290435</v>
      </c>
      <c r="D24" s="8">
        <f>C24*rendimento_carteira</f>
        <v>32.673152757174265</v>
      </c>
    </row>
    <row r="25" spans="1:4" ht="21" customHeight="1" x14ac:dyDescent="0.3">
      <c r="A25" s="1">
        <v>5</v>
      </c>
      <c r="B25" s="37" t="s">
        <v>7</v>
      </c>
      <c r="C25" s="9">
        <f>FV($D$19,$A25*12,$D$17*-1)</f>
        <v>16755.382799697527</v>
      </c>
      <c r="D25" s="10">
        <f>C25*rendimento_carteira</f>
        <v>100.53229679818516</v>
      </c>
    </row>
    <row r="26" spans="1:4" ht="21" customHeight="1" x14ac:dyDescent="0.3">
      <c r="A26" s="1">
        <v>10</v>
      </c>
      <c r="B26" s="37" t="s">
        <v>8</v>
      </c>
      <c r="C26" s="9">
        <f>FV($D$19,$A26*12,$D$17*-1)</f>
        <v>48656.842506034438</v>
      </c>
      <c r="D26" s="11">
        <f>C26*rendimento_carteira</f>
        <v>291.94105503620665</v>
      </c>
    </row>
    <row r="27" spans="1:4" ht="21" customHeight="1" x14ac:dyDescent="0.3">
      <c r="A27" s="1">
        <v>20</v>
      </c>
      <c r="B27" s="37" t="s">
        <v>9</v>
      </c>
      <c r="C27" s="9">
        <f>FV($D$19,$A27*12,$D$17*-1)</f>
        <v>225039.68001941612</v>
      </c>
      <c r="D27" s="10">
        <f>C27*rendimento_carteira</f>
        <v>1350.2380801164968</v>
      </c>
    </row>
    <row r="28" spans="1:4" ht="21" customHeight="1" thickBot="1" x14ac:dyDescent="0.35">
      <c r="A28" s="1">
        <v>30</v>
      </c>
      <c r="B28" s="38" t="s">
        <v>10</v>
      </c>
      <c r="C28" s="12">
        <f>FV($D$19,$A28*12,$D$17*-1)</f>
        <v>864433.93100094295</v>
      </c>
      <c r="D28" s="13">
        <f>C28*rendimento_carteira</f>
        <v>5186.6035860056581</v>
      </c>
    </row>
    <row r="31" spans="1:4" ht="15.75" thickBot="1" x14ac:dyDescent="0.3"/>
    <row r="32" spans="1:4" ht="18" thickTop="1" x14ac:dyDescent="0.3">
      <c r="B32" s="60" t="s">
        <v>16</v>
      </c>
      <c r="C32" s="61" t="s">
        <v>17</v>
      </c>
      <c r="D32" s="57"/>
    </row>
    <row r="33" spans="2:4" ht="18" thickBot="1" x14ac:dyDescent="0.35">
      <c r="B33" s="62" t="s">
        <v>19</v>
      </c>
      <c r="C33" s="58">
        <f>aporte</f>
        <v>200</v>
      </c>
      <c r="D33" s="59"/>
    </row>
    <row r="34" spans="2:4" ht="16.5" thickTop="1" thickBot="1" x14ac:dyDescent="0.3"/>
    <row r="35" spans="2:4" ht="18" thickTop="1" x14ac:dyDescent="0.25">
      <c r="B35" s="63" t="s">
        <v>20</v>
      </c>
      <c r="C35" s="64" t="s">
        <v>21</v>
      </c>
      <c r="D35" s="65" t="s">
        <v>22</v>
      </c>
    </row>
    <row r="36" spans="2:4" ht="17.25" x14ac:dyDescent="0.3">
      <c r="B36" s="69" t="s">
        <v>23</v>
      </c>
      <c r="C36" s="70">
        <f>VLOOKUP($C$32&amp;"-"&amp;B36,Plan2!A:D,4,FALSE)</f>
        <v>0.3</v>
      </c>
      <c r="D36" s="71">
        <f>C36*$C$33</f>
        <v>60</v>
      </c>
    </row>
    <row r="37" spans="2:4" ht="17.25" x14ac:dyDescent="0.3">
      <c r="B37" s="72" t="s">
        <v>24</v>
      </c>
      <c r="C37" s="73">
        <f>VLOOKUP($C$32&amp;"-"&amp;B37,Plan2!A:D,4,FALSE)</f>
        <v>0.5</v>
      </c>
      <c r="D37" s="74">
        <f t="shared" ref="D37:D41" si="0">C37*$C$33</f>
        <v>100</v>
      </c>
    </row>
    <row r="38" spans="2:4" ht="17.25" x14ac:dyDescent="0.3">
      <c r="B38" s="72" t="s">
        <v>25</v>
      </c>
      <c r="C38" s="73">
        <f>VLOOKUP($C$32&amp;"-"&amp;B38,Plan2!A:D,4,FALSE)</f>
        <v>0.1</v>
      </c>
      <c r="D38" s="74">
        <f t="shared" si="0"/>
        <v>20</v>
      </c>
    </row>
    <row r="39" spans="2:4" ht="17.25" x14ac:dyDescent="0.3">
      <c r="B39" s="72" t="s">
        <v>26</v>
      </c>
      <c r="C39" s="73">
        <f>VLOOKUP($C$32&amp;"-"&amp;B39,Plan2!A:D,4,FALSE)</f>
        <v>0.1</v>
      </c>
      <c r="D39" s="74">
        <f t="shared" si="0"/>
        <v>20</v>
      </c>
    </row>
    <row r="40" spans="2:4" ht="17.25" x14ac:dyDescent="0.3">
      <c r="B40" s="72" t="s">
        <v>27</v>
      </c>
      <c r="C40" s="73">
        <f>VLOOKUP($C$32&amp;"-"&amp;B40,Plan2!A:D,4,FALSE)</f>
        <v>0</v>
      </c>
      <c r="D40" s="74">
        <f t="shared" si="0"/>
        <v>0</v>
      </c>
    </row>
    <row r="41" spans="2:4" ht="17.25" x14ac:dyDescent="0.3">
      <c r="B41" s="75" t="s">
        <v>28</v>
      </c>
      <c r="C41" s="76">
        <f>VLOOKUP($C$32&amp;"-"&amp;B41,Plan2!A:D,4,FALSE)</f>
        <v>0</v>
      </c>
      <c r="D41" s="77">
        <f t="shared" si="0"/>
        <v>0</v>
      </c>
    </row>
    <row r="42" spans="2:4" ht="18" thickBot="1" x14ac:dyDescent="0.35">
      <c r="B42" s="66"/>
      <c r="C42" s="67"/>
      <c r="D42" s="68">
        <f>SUM(D36:D41)</f>
        <v>200</v>
      </c>
    </row>
    <row r="43" spans="2:4" ht="15.75" thickTop="1" x14ac:dyDescent="0.25"/>
  </sheetData>
  <mergeCells count="11">
    <mergeCell ref="B16:D16"/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H14" sqref="H14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7" max="7" width="18.5703125" bestFit="1" customWidth="1"/>
  </cols>
  <sheetData>
    <row r="1" spans="1:8" ht="15.75" thickBot="1" x14ac:dyDescent="0.3"/>
    <row r="2" spans="1:8" x14ac:dyDescent="0.25">
      <c r="A2" s="47" t="s">
        <v>30</v>
      </c>
      <c r="B2" s="48" t="s">
        <v>16</v>
      </c>
      <c r="C2" s="49" t="s">
        <v>20</v>
      </c>
      <c r="D2" s="50" t="s">
        <v>29</v>
      </c>
    </row>
    <row r="3" spans="1:8" x14ac:dyDescent="0.25">
      <c r="A3" s="51" t="str">
        <f>B3&amp;"-"&amp;C3</f>
        <v>CONSERVADOR-PAPEL</v>
      </c>
      <c r="B3" s="45" t="s">
        <v>17</v>
      </c>
      <c r="C3" s="46" t="s">
        <v>23</v>
      </c>
      <c r="D3" s="52">
        <v>0.3</v>
      </c>
      <c r="H3" t="s">
        <v>29</v>
      </c>
    </row>
    <row r="4" spans="1:8" x14ac:dyDescent="0.25">
      <c r="A4" s="51" t="str">
        <f t="shared" ref="A4:A20" si="0">B4&amp;"-"&amp;C4</f>
        <v>CONSERVADOR-TIJOLO</v>
      </c>
      <c r="B4" s="45" t="s">
        <v>17</v>
      </c>
      <c r="C4" s="46" t="s">
        <v>24</v>
      </c>
      <c r="D4" s="52">
        <v>0.5</v>
      </c>
      <c r="G4" s="40" t="s">
        <v>32</v>
      </c>
      <c r="H4" s="41">
        <f>VLOOKUP(G4,$A:$D,4,FALSE)</f>
        <v>0.35</v>
      </c>
    </row>
    <row r="5" spans="1:8" x14ac:dyDescent="0.25">
      <c r="A5" s="51" t="str">
        <f t="shared" si="0"/>
        <v>CONSERVADOR-HÍBRIDOS</v>
      </c>
      <c r="B5" s="45" t="s">
        <v>17</v>
      </c>
      <c r="C5" s="46" t="s">
        <v>25</v>
      </c>
      <c r="D5" s="52">
        <v>0.1</v>
      </c>
    </row>
    <row r="6" spans="1:8" x14ac:dyDescent="0.25">
      <c r="A6" s="51" t="str">
        <f t="shared" si="0"/>
        <v>CONSERVADOR-FOFs</v>
      </c>
      <c r="B6" s="45" t="s">
        <v>17</v>
      </c>
      <c r="C6" s="46" t="s">
        <v>26</v>
      </c>
      <c r="D6" s="52">
        <v>0.1</v>
      </c>
    </row>
    <row r="7" spans="1:8" x14ac:dyDescent="0.25">
      <c r="A7" s="51" t="str">
        <f t="shared" si="0"/>
        <v>CONSERVADOR-DESENVOLVIMENTO</v>
      </c>
      <c r="B7" s="45" t="s">
        <v>17</v>
      </c>
      <c r="C7" s="46" t="s">
        <v>27</v>
      </c>
      <c r="D7" s="52">
        <v>0</v>
      </c>
    </row>
    <row r="8" spans="1:8" ht="15.75" thickBot="1" x14ac:dyDescent="0.3">
      <c r="A8" s="54" t="str">
        <f t="shared" si="0"/>
        <v>CONSERVADOR-HOTELARIAS</v>
      </c>
      <c r="B8" s="43" t="s">
        <v>17</v>
      </c>
      <c r="C8" s="44" t="s">
        <v>28</v>
      </c>
      <c r="D8" s="56">
        <v>0</v>
      </c>
    </row>
    <row r="9" spans="1:8" x14ac:dyDescent="0.25">
      <c r="A9" s="51" t="str">
        <f t="shared" si="0"/>
        <v>MODERADO-PAPEL</v>
      </c>
      <c r="B9" s="45" t="s">
        <v>31</v>
      </c>
      <c r="C9" s="46" t="s">
        <v>23</v>
      </c>
      <c r="D9" s="52">
        <v>0.32</v>
      </c>
    </row>
    <row r="10" spans="1:8" x14ac:dyDescent="0.25">
      <c r="A10" s="51" t="str">
        <f t="shared" si="0"/>
        <v>MODERADO-TIJOLO</v>
      </c>
      <c r="B10" s="45" t="s">
        <v>31</v>
      </c>
      <c r="C10" s="46" t="s">
        <v>24</v>
      </c>
      <c r="D10" s="52">
        <v>0.35</v>
      </c>
    </row>
    <row r="11" spans="1:8" x14ac:dyDescent="0.25">
      <c r="A11" s="51" t="str">
        <f t="shared" si="0"/>
        <v>MODERADO-HÍBRIDOS</v>
      </c>
      <c r="B11" s="45" t="s">
        <v>31</v>
      </c>
      <c r="C11" s="46" t="s">
        <v>25</v>
      </c>
      <c r="D11" s="52">
        <v>0.08</v>
      </c>
    </row>
    <row r="12" spans="1:8" x14ac:dyDescent="0.25">
      <c r="A12" s="51" t="str">
        <f t="shared" si="0"/>
        <v>MODERADO-FOFs</v>
      </c>
      <c r="B12" s="45" t="s">
        <v>31</v>
      </c>
      <c r="C12" s="46" t="s">
        <v>26</v>
      </c>
      <c r="D12" s="52">
        <v>0.05</v>
      </c>
    </row>
    <row r="13" spans="1:8" x14ac:dyDescent="0.25">
      <c r="A13" s="51" t="str">
        <f t="shared" si="0"/>
        <v>MODERADO-DESENVOLVIMENTO</v>
      </c>
      <c r="B13" s="45" t="s">
        <v>31</v>
      </c>
      <c r="C13" s="46" t="s">
        <v>27</v>
      </c>
      <c r="D13" s="53">
        <v>0.1</v>
      </c>
    </row>
    <row r="14" spans="1:8" ht="15.75" thickBot="1" x14ac:dyDescent="0.3">
      <c r="A14" s="54" t="str">
        <f>B14&amp;"-"&amp;C14</f>
        <v>MODERADO-HOTELARIAS</v>
      </c>
      <c r="B14" s="43" t="s">
        <v>31</v>
      </c>
      <c r="C14" s="44" t="s">
        <v>28</v>
      </c>
      <c r="D14" s="55">
        <v>0.1</v>
      </c>
    </row>
    <row r="15" spans="1:8" x14ac:dyDescent="0.25">
      <c r="A15" s="51" t="str">
        <f t="shared" si="0"/>
        <v>AGRESSIVO-PAPEL</v>
      </c>
      <c r="B15" s="45" t="s">
        <v>18</v>
      </c>
      <c r="C15" s="46" t="s">
        <v>23</v>
      </c>
      <c r="D15" s="53">
        <v>0.5</v>
      </c>
    </row>
    <row r="16" spans="1:8" x14ac:dyDescent="0.25">
      <c r="A16" s="51" t="str">
        <f t="shared" si="0"/>
        <v>AGRESSIVO-TIJOLO</v>
      </c>
      <c r="B16" s="45" t="s">
        <v>18</v>
      </c>
      <c r="C16" s="46" t="s">
        <v>24</v>
      </c>
      <c r="D16" s="53">
        <v>0.1</v>
      </c>
    </row>
    <row r="17" spans="1:4" x14ac:dyDescent="0.25">
      <c r="A17" s="51" t="str">
        <f t="shared" si="0"/>
        <v>AGRESSIVO-HÍBRIDOS</v>
      </c>
      <c r="B17" s="45" t="s">
        <v>18</v>
      </c>
      <c r="C17" s="46" t="s">
        <v>25</v>
      </c>
      <c r="D17" s="53">
        <v>0.05</v>
      </c>
    </row>
    <row r="18" spans="1:4" x14ac:dyDescent="0.25">
      <c r="A18" s="51" t="str">
        <f t="shared" si="0"/>
        <v>AGRESSIVO-FOFs</v>
      </c>
      <c r="B18" s="45" t="s">
        <v>18</v>
      </c>
      <c r="C18" s="46" t="s">
        <v>26</v>
      </c>
      <c r="D18" s="53">
        <v>0.05</v>
      </c>
    </row>
    <row r="19" spans="1:4" x14ac:dyDescent="0.25">
      <c r="A19" s="51" t="str">
        <f t="shared" si="0"/>
        <v>AGRESSIVO-DESENVOLVIMENTO</v>
      </c>
      <c r="B19" s="45" t="s">
        <v>18</v>
      </c>
      <c r="C19" s="46" t="s">
        <v>27</v>
      </c>
      <c r="D19" s="53">
        <v>0.2</v>
      </c>
    </row>
    <row r="20" spans="1:4" ht="15.75" thickBot="1" x14ac:dyDescent="0.3">
      <c r="A20" s="54" t="str">
        <f t="shared" si="0"/>
        <v>AGRESSIVO-HOTELARIAS</v>
      </c>
      <c r="B20" s="43" t="s">
        <v>18</v>
      </c>
      <c r="C20" s="44" t="s">
        <v>28</v>
      </c>
      <c r="D20" s="5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Plan2</vt:lpstr>
      <vt:lpstr>aporte</vt:lpstr>
      <vt:lpstr>patrimonio</vt:lpstr>
      <vt:lpstr>qtd_anos</vt:lpstr>
      <vt:lpstr>rendimento_carteira</vt:lpstr>
      <vt:lpstr>soma</vt:lpstr>
      <vt:lpstr>sugestao_ivestimento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</cp:lastModifiedBy>
  <dcterms:created xsi:type="dcterms:W3CDTF">2025-12-28T16:50:16Z</dcterms:created>
  <dcterms:modified xsi:type="dcterms:W3CDTF">2025-12-28T19:35:04Z</dcterms:modified>
</cp:coreProperties>
</file>